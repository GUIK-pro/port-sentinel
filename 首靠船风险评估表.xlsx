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表" sheetId="1" state="visible" r:id="rId1"/>
    <sheet xmlns:r="http://schemas.openxmlformats.org/officeDocument/2006/relationships" name="日报清单" sheetId="2" state="visible" r:id="rId2"/>
    <sheet xmlns:r="http://schemas.openxmlformats.org/officeDocument/2006/relationships" name="评分标准速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0080"/>
      <sz val="10"/>
    </font>
    <font>
      <name val="微软雅黑"/>
      <b val="1"/>
      <color rgb="00C00000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666666"/>
      <sz val="9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i val="1"/>
      <color rgb="00999999"/>
      <sz val="9"/>
    </font>
    <font>
      <name val="微软雅黑"/>
      <b val="1"/>
      <color rgb="00C00000"/>
      <sz val="12"/>
    </font>
    <font>
      <name val="微软雅黑"/>
      <b val="1"/>
      <color rgb="00FF0000"/>
      <sz val="9"/>
    </font>
    <font>
      <name val="微软雅黑"/>
      <b val="1"/>
      <sz val="11"/>
    </font>
    <font>
      <name val="微软雅黑"/>
      <b val="1"/>
      <color rgb="00C00000"/>
      <sz val="14"/>
    </font>
    <font>
      <name val="微软雅黑"/>
      <b val="1"/>
      <sz val="16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9"/>
    </font>
    <font>
      <name val="微软雅黑"/>
      <color rgb="00999999"/>
      <sz val="9"/>
    </font>
    <font>
      <name val="微软雅黑"/>
      <i val="1"/>
      <color rgb="00666666"/>
      <sz val="9"/>
    </font>
    <font>
      <name val="微软雅黑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B9BD5"/>
        <bgColor rgb="005B9BD5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8">
    <xf numFmtId="0" fontId="0" fillId="0" borderId="0"/>
    <xf numFmtId="0" fontId="1" fillId="2" borderId="1" applyAlignment="1">
      <alignment horizontal="center" vertical="center"/>
    </xf>
    <xf numFmtId="0" fontId="2" fillId="3" borderId="1" applyAlignment="1">
      <alignment horizontal="left" vertical="center"/>
    </xf>
    <xf numFmtId="0" fontId="3" fillId="0" borderId="1" applyAlignment="1">
      <alignment horizontal="left" vertical="center"/>
    </xf>
    <xf numFmtId="0" fontId="4" fillId="4" borderId="1" applyAlignment="1">
      <alignment horizontal="center" vertical="center"/>
    </xf>
    <xf numFmtId="0" fontId="5" fillId="5" borderId="1" applyAlignment="1">
      <alignment horizontal="center" vertical="center"/>
    </xf>
    <xf numFmtId="0" fontId="6" fillId="0" borderId="1" applyAlignment="1">
      <alignment horizontal="center" vertical="center"/>
    </xf>
    <xf numFmtId="0" fontId="7" fillId="6" borderId="1" applyAlignment="1">
      <alignment horizontal="center" vertical="center" wrapText="1"/>
    </xf>
  </cellStyleXfs>
  <cellXfs count="42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pivotButton="0" quotePrefix="0" xfId="0"/>
    <xf numFmtId="0" fontId="2" fillId="3" borderId="2" applyAlignment="1" pivotButton="0" quotePrefix="0" xfId="2">
      <alignment horizontal="left" vertical="center"/>
    </xf>
    <xf numFmtId="0" fontId="3" fillId="0" borderId="2" applyAlignment="1" pivotButton="0" quotePrefix="0" xfId="3">
      <alignment horizontal="left" vertical="center"/>
    </xf>
    <xf numFmtId="0" fontId="4" fillId="4" borderId="2" applyAlignment="1" pivotButton="0" quotePrefix="0" xfId="4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5" fillId="5" borderId="2" applyAlignment="1" pivotButton="0" quotePrefix="0" xfId="5">
      <alignment horizontal="center" vertical="center"/>
    </xf>
    <xf numFmtId="0" fontId="8" fillId="0" borderId="2" pivotButton="0" quotePrefix="0" xfId="0"/>
    <xf numFmtId="0" fontId="9" fillId="0" borderId="2" applyAlignment="1" pivotButton="0" quotePrefix="0" xfId="0">
      <alignment horizontal="right" vertical="center"/>
    </xf>
    <xf numFmtId="0" fontId="10" fillId="5" borderId="2" applyAlignment="1" pivotButton="0" quotePrefix="0" xfId="5">
      <alignment horizontal="center" vertical="center"/>
    </xf>
    <xf numFmtId="0" fontId="11" fillId="0" borderId="2" pivotButton="0" quotePrefix="0" xfId="0"/>
    <xf numFmtId="0" fontId="12" fillId="5" borderId="2" applyAlignment="1" pivotButton="0" quotePrefix="0" xfId="5">
      <alignment horizontal="center" vertical="center"/>
    </xf>
    <xf numFmtId="0" fontId="13" fillId="0" borderId="2" pivotButton="0" quotePrefix="0" xfId="0"/>
    <xf numFmtId="0" fontId="9" fillId="0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0" borderId="2" pivotButton="0" quotePrefix="0" xfId="0"/>
    <xf numFmtId="0" fontId="14" fillId="0" borderId="2" applyAlignment="1" pivotButton="0" quotePrefix="0" xfId="0">
      <alignment horizontal="left" vertical="center"/>
    </xf>
    <xf numFmtId="0" fontId="15" fillId="0" borderId="2" applyAlignment="1" pivotButton="0" quotePrefix="0" xfId="6">
      <alignment horizontal="center" vertical="center"/>
    </xf>
    <xf numFmtId="0" fontId="6" fillId="0" borderId="2" applyAlignment="1" pivotButton="0" quotePrefix="0" xfId="6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16" fillId="0" borderId="2" applyAlignment="1" pivotButton="0" quotePrefix="0" xfId="6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7" fillId="6" borderId="2" applyAlignment="1" pivotButton="0" quotePrefix="0" xfId="7">
      <alignment horizontal="center" vertical="center" wrapText="1"/>
    </xf>
    <xf numFmtId="0" fontId="18" fillId="0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2" fillId="0" borderId="2" pivotButton="0" quotePrefix="0" xfId="0"/>
    <xf numFmtId="0" fontId="19" fillId="0" borderId="2" pivotButton="0" quotePrefix="0" xfId="0"/>
    <xf numFmtId="0" fontId="3" fillId="0" borderId="2" pivotButton="0" quotePrefix="0" xfId="0"/>
  </cellXfs>
  <cellStyles count="8">
    <cellStyle name="Normal" xfId="0" builtinId="0" hidden="0"/>
    <cellStyle name="title_style" xfId="1" hidden="0"/>
    <cellStyle name="dim_style" xfId="2" hidden="0"/>
    <cellStyle name="label_style" xfId="3" hidden="0"/>
    <cellStyle name="input_style" xfId="4" hidden="0"/>
    <cellStyle name="score_style" xfId="5" hidden="0"/>
    <cellStyle name="result_style" xfId="6" hidden="0"/>
    <cellStyle name="header_style" xfId="7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四维度风险雷达图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'评估表'!G7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'评估表'!$F$8:$F$11</f>
            </numRef>
          </cat>
          <val>
            <numRef>
              <f>'评估表'!$G$8:$G$11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H5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8" customWidth="1" min="3" max="3"/>
    <col width="12" customWidth="1" min="4" max="4"/>
    <col width="40" customWidth="1" min="5" max="5"/>
    <col width="10" customWidth="1" min="6" max="6"/>
    <col width="8" customWidth="1" min="7" max="7"/>
    <col width="8" customWidth="1" min="8" max="8"/>
  </cols>
  <sheetData>
    <row r="1" ht="36" customHeight="1">
      <c r="B1" s="1" t="inlineStr">
        <is>
          <t>首靠船风险评估表（东莞辖区）</t>
        </is>
      </c>
      <c r="C1" s="2" t="n"/>
      <c r="D1" s="2" t="n"/>
      <c r="E1" s="2" t="n"/>
    </row>
    <row r="2" ht="24" customHeight="1">
      <c r="B2" s="3" t="inlineStr">
        <is>
          <t>一、基本信息</t>
        </is>
      </c>
      <c r="C2" s="2" t="n"/>
      <c r="D2" s="2" t="n"/>
      <c r="E2" s="2" t="n"/>
    </row>
    <row r="3">
      <c r="B3" s="4" t="inlineStr">
        <is>
          <t>船名</t>
        </is>
      </c>
      <c r="C3" s="5" t="inlineStr">
        <is>
          <t>例：和谐号</t>
        </is>
      </c>
      <c r="D3" s="2" t="n"/>
      <c r="E3" s="2" t="n"/>
    </row>
    <row r="4">
      <c r="B4" s="4" t="inlineStr">
        <is>
          <t>IMO编号</t>
        </is>
      </c>
      <c r="C4" s="5" t="inlineStr">
        <is>
          <t>例：1234567</t>
        </is>
      </c>
      <c r="D4" s="2" t="n"/>
      <c r="E4" s="2" t="n"/>
    </row>
    <row r="5">
      <c r="B5" s="4" t="inlineStr">
        <is>
          <t>到港日期</t>
        </is>
      </c>
      <c r="C5" s="5" t="inlineStr">
        <is>
          <t>例：2026-05-10</t>
        </is>
      </c>
      <c r="D5" s="2" t="n"/>
      <c r="E5" s="2" t="n"/>
    </row>
    <row r="6">
      <c r="B6" s="4" t="inlineStr">
        <is>
          <t>拟靠码头</t>
        </is>
      </c>
      <c r="C6" s="5" t="inlineStr">
        <is>
          <t>例：沙田港二期</t>
        </is>
      </c>
      <c r="D6" s="2" t="n"/>
      <c r="E6" s="2" t="n"/>
    </row>
    <row r="7">
      <c r="B7" s="4" t="inlineStr">
        <is>
          <t>评估人</t>
        </is>
      </c>
      <c r="C7" s="5" t="inlineStr"/>
      <c r="D7" s="2" t="n"/>
      <c r="E7" s="2" t="n"/>
      <c r="F7" s="6" t="inlineStr">
        <is>
          <t>维度</t>
        </is>
      </c>
      <c r="G7" s="6" t="inlineStr">
        <is>
          <t>得分</t>
        </is>
      </c>
      <c r="H7" s="6" t="inlineStr">
        <is>
          <t>满分</t>
        </is>
      </c>
    </row>
    <row r="8">
      <c r="B8" s="4" t="inlineStr">
        <is>
          <t>评估时间</t>
        </is>
      </c>
      <c r="C8" s="5" t="inlineStr"/>
      <c r="D8" s="2" t="n"/>
      <c r="E8" s="2" t="n"/>
      <c r="F8" s="7" t="inlineStr">
        <is>
          <t>船舶固有</t>
        </is>
      </c>
      <c r="G8" s="8">
        <f>C14</f>
        <v/>
      </c>
      <c r="H8" s="9" t="n">
        <v>30</v>
      </c>
    </row>
    <row r="9">
      <c r="F9" s="7" t="inlineStr">
        <is>
          <t>历史绩效</t>
        </is>
      </c>
      <c r="G9" s="8">
        <f>C21</f>
        <v/>
      </c>
      <c r="H9" s="9" t="n">
        <v>40</v>
      </c>
    </row>
    <row r="10" ht="24" customHeight="1">
      <c r="B10" s="3" t="inlineStr">
        <is>
          <t>二、船舶固有风险（本项满分30分，得分越高风险越大）</t>
        </is>
      </c>
      <c r="C10" s="2" t="n"/>
      <c r="D10" s="2" t="n"/>
      <c r="E10" s="2" t="n"/>
      <c r="F10" s="7" t="inlineStr">
        <is>
          <t>船员配员</t>
        </is>
      </c>
      <c r="G10" s="8">
        <f>C27</f>
        <v/>
      </c>
      <c r="H10" s="9" t="n">
        <v>25</v>
      </c>
    </row>
    <row r="11">
      <c r="B11" s="4" t="inlineStr">
        <is>
          <t>1. 船龄</t>
        </is>
      </c>
      <c r="C11" s="5" t="inlineStr">
        <is>
          <t>请选择</t>
        </is>
      </c>
      <c r="D11" s="10">
        <f>IF(C11="≤10年",0,IF(C11="10-15年",5,IF(C11="15-20年",10,IF(C11="20-25年",15,IF(C11="&gt;25年",20,0)))))</f>
        <v/>
      </c>
      <c r="E11" s="11" t="inlineStr">
        <is>
          <t>≤10年:0分 | 10-15年:5分 | 15-20年:10分 | 20-25年:15分 | &gt;25年:20分</t>
        </is>
      </c>
      <c r="F11" s="7" t="inlineStr">
        <is>
          <t>航行通航</t>
        </is>
      </c>
      <c r="G11" s="8">
        <f>C34</f>
        <v/>
      </c>
      <c r="H11" s="9" t="n">
        <v>25</v>
      </c>
    </row>
    <row r="12">
      <c r="B12" s="4" t="inlineStr">
        <is>
          <t>2. 船型</t>
        </is>
      </c>
      <c r="C12" s="5" t="inlineStr">
        <is>
          <t>请选择</t>
        </is>
      </c>
      <c r="D12" s="10">
        <f>IF(C12="普通货船/集装箱船",0,IF(C12="散货船",3,IF(OR(C12="油轮",C12="化学品船",C12="液化气船(LNG/LPG)"),5,IF(C12="客船/滚装船",4,0))))</f>
        <v/>
      </c>
      <c r="E12" s="11" t="inlineStr">
        <is>
          <t>普通货船:0分 | 散货船:3分 | 油轮/化学品/LNG:5分 | 客船:4分</t>
        </is>
      </c>
    </row>
    <row r="13">
      <c r="B13" s="4" t="inlineStr">
        <is>
          <t>3. 船旗国风险（Tokyo MOU名单）</t>
        </is>
      </c>
      <c r="C13" s="5" t="inlineStr">
        <is>
          <t>请选择</t>
        </is>
      </c>
      <c r="D13" s="10">
        <f>IF(C13="白名单",0,IF(C13="灰名单",5,IF(C13="黑名单",10,3)))</f>
        <v/>
      </c>
      <c r="E13" s="11" t="inlineStr">
        <is>
          <t>白名单:0分 | 灰名单:5分 | 黑名单:10分 | 未知:3分</t>
        </is>
      </c>
    </row>
    <row r="14">
      <c r="B14" s="12" t="inlineStr">
        <is>
          <t>小计</t>
        </is>
      </c>
      <c r="C14" s="13">
        <f>SUM(D11:D13)</f>
        <v/>
      </c>
      <c r="D14" s="2" t="n"/>
      <c r="E14" s="14" t="inlineStr">
        <is>
          <t>满分30分</t>
        </is>
      </c>
    </row>
    <row r="16" ht="24" customHeight="1">
      <c r="B16" s="3" t="inlineStr">
        <is>
          <t>三、历史安全绩效（本项满分40分，得分越高风险越大）</t>
        </is>
      </c>
      <c r="C16" s="2" t="n"/>
      <c r="D16" s="2" t="n"/>
      <c r="E16" s="2" t="n"/>
    </row>
    <row r="17">
      <c r="B17" s="4" t="inlineStr">
        <is>
          <t>4. 近12个月PSC检查次数</t>
        </is>
      </c>
      <c r="C17" s="5" t="inlineStr">
        <is>
          <t>请选择</t>
        </is>
      </c>
      <c r="D17" s="10">
        <f>IF(C17="0次",0,IF(C17="1次",3,IF(C17="2次",8,15)))</f>
        <v/>
      </c>
      <c r="E17" s="11" t="inlineStr">
        <is>
          <t>0次:0分 | 1次:3分 | 2次:8分 | ≥3次:15分</t>
        </is>
      </c>
    </row>
    <row r="18">
      <c r="B18" s="4" t="inlineStr">
        <is>
          <t>5. 近36个月滞留次数</t>
        </is>
      </c>
      <c r="C18" s="5" t="inlineStr">
        <is>
          <t>请选择</t>
        </is>
      </c>
      <c r="D18" s="10">
        <f>IF(C18="0次",0,IF(C18="1次",10,IF(C18="2次",20,30)))</f>
        <v/>
      </c>
      <c r="E18" s="11" t="inlineStr">
        <is>
          <t>0次:0分 | 1次:10分 | 2次:20分 | ≥3次:30分</t>
        </is>
      </c>
    </row>
    <row r="19">
      <c r="B19" s="4" t="inlineStr">
        <is>
          <t>6. 近12个月PSC缺陷总数</t>
        </is>
      </c>
      <c r="C19" s="5" t="inlineStr">
        <is>
          <t>请选择</t>
        </is>
      </c>
      <c r="D19" s="10">
        <f>IF(C19="0个",0,IF(C19="1-3个",5,IF(C19="4-6个",10,15)))</f>
        <v/>
      </c>
      <c r="E19" s="11" t="inlineStr">
        <is>
          <t>0个:0分 | 1-3个:5分 | 4-6个:10分 | ≥7个:15分</t>
        </is>
      </c>
    </row>
    <row r="20">
      <c r="B20" s="4" t="inlineStr">
        <is>
          <t>7. 东莞辖区历史检查记录</t>
        </is>
      </c>
      <c r="C20" s="5" t="inlineStr">
        <is>
          <t>请选择</t>
        </is>
      </c>
      <c r="D20" s="10">
        <f>IF(C20="无记录",0,IF(C20="有缺陷记录",5,15))</f>
        <v/>
      </c>
      <c r="E20" s="11" t="inlineStr">
        <is>
          <t>无记录:0分 | 有缺陷:5分 | 曾滞留:15分（本局自建库）</t>
        </is>
      </c>
    </row>
    <row r="21">
      <c r="B21" s="12" t="inlineStr">
        <is>
          <t>小计</t>
        </is>
      </c>
      <c r="C21" s="13">
        <f>SUM(D17:D20)</f>
        <v/>
      </c>
      <c r="D21" s="2" t="n"/>
      <c r="E21" s="14" t="inlineStr">
        <is>
          <t>满分40分</t>
        </is>
      </c>
    </row>
    <row r="23" ht="24" customHeight="1">
      <c r="B23" s="3" t="inlineStr">
        <is>
          <t>四、船员与配员风险（本项满分25分，得分越高风险越大）</t>
        </is>
      </c>
      <c r="C23" s="2" t="n"/>
      <c r="D23" s="2" t="n"/>
      <c r="E23" s="2" t="n"/>
    </row>
    <row r="24">
      <c r="B24" s="4" t="inlineStr">
        <is>
          <t>8. 实际配员/最低安全配员</t>
        </is>
      </c>
      <c r="C24" s="5" t="inlineStr">
        <is>
          <t>请选择</t>
        </is>
      </c>
      <c r="D24" s="10">
        <f>IF(C24="100%",0,IF(C24="90%-99%",5,IF(C24="80%-89%",10,IF(C24="70%-79%",15,25))))</f>
        <v/>
      </c>
      <c r="E24" s="11" t="inlineStr">
        <is>
          <t>100%:0分 | 90-99%:5分 | 80-89%:10分 | 70-79%:15分 | &lt;70%:25分</t>
        </is>
      </c>
    </row>
    <row r="25">
      <c r="B25" s="4" t="inlineStr">
        <is>
          <t>9. 船员证书过期情况</t>
        </is>
      </c>
      <c r="C25" s="5" t="inlineStr">
        <is>
          <t>请选择</t>
        </is>
      </c>
      <c r="D25" s="10">
        <f>IF(C25="无过期",0,IF(C25="1-2人过期",5,12))</f>
        <v/>
      </c>
      <c r="E25" s="11" t="inlineStr">
        <is>
          <t>无过期:0分 | 1-2人:5分 | ≥3人:12分</t>
        </is>
      </c>
    </row>
    <row r="26">
      <c r="B26" s="4" t="inlineStr">
        <is>
          <t>10. 船长/大副/轮机长在船任职时间</t>
        </is>
      </c>
      <c r="C26" s="5" t="inlineStr">
        <is>
          <t>请选择</t>
        </is>
      </c>
      <c r="D26" s="10">
        <f>IF(C26="≥12个月",0,IF(C26="6-12个月",2,IF(C26="3-6个月",5,IF(C26="&lt;3个月",8,10))))</f>
        <v/>
      </c>
      <c r="E26" s="11" t="inlineStr">
        <is>
          <t>≥12月:0分 | 6-12月:2分 | 3-6月:5分 | &lt;3月:8分 | 新上船:10分</t>
        </is>
      </c>
    </row>
    <row r="27">
      <c r="B27" s="12" t="inlineStr">
        <is>
          <t>小计</t>
        </is>
      </c>
      <c r="C27" s="13">
        <f>SUM(D24:D26)</f>
        <v/>
      </c>
      <c r="D27" s="2" t="n"/>
      <c r="E27" s="14" t="inlineStr">
        <is>
          <t>满分25分</t>
        </is>
      </c>
    </row>
    <row r="29" ht="24" customHeight="1">
      <c r="B29" s="3" t="inlineStr">
        <is>
          <t>五、航行与通航风险（本项满分25分，得分越高风险越大）</t>
        </is>
      </c>
      <c r="C29" s="2" t="n"/>
      <c r="D29" s="2" t="n"/>
      <c r="E29" s="2" t="n"/>
    </row>
    <row r="30">
      <c r="B30" s="4" t="inlineStr">
        <is>
          <t>11. 吃水余量（航道水深 - 船舶吃水）</t>
        </is>
      </c>
      <c r="C30" s="5" t="inlineStr">
        <is>
          <t>请选择</t>
        </is>
      </c>
      <c r="D30" s="10">
        <f>IF(C30="≥2.0米",0,IF(C30="1.0-2.0米",5,IF(C30="0.5-1.0米",10,IF(C30="0-0.5米",20,25))))</f>
        <v/>
      </c>
      <c r="E30" s="11" t="inlineStr">
        <is>
          <t>≥2m:0分 | 1-2m:5分 | 0.5-1m:10分 | 0-0.5m:20分 | &lt;0m:25分</t>
        </is>
      </c>
    </row>
    <row r="31">
      <c r="B31" s="4" t="inlineStr">
        <is>
          <t>12. 预计到港时段</t>
        </is>
      </c>
      <c r="C31" s="5" t="inlineStr">
        <is>
          <t>请选择</t>
        </is>
      </c>
      <c r="D31" s="10">
        <f>IF(C31="白天(日出-日落)",0,IF(C31="夜间",3,5))</f>
        <v/>
      </c>
      <c r="E31" s="11" t="inlineStr">
        <is>
          <t>白天:0分 | 夜间:3分 | 凌晨:5分</t>
        </is>
      </c>
    </row>
    <row r="32">
      <c r="B32" s="4" t="inlineStr">
        <is>
          <t>13. 到港前后24小时气象预报</t>
        </is>
      </c>
      <c r="C32" s="5" t="inlineStr">
        <is>
          <t>请选择</t>
        </is>
      </c>
      <c r="D32" s="10">
        <f>IF(C32="良好(晴/多云)",0,IF(C32="一般(阴/小雨/轻雾)",5,12))</f>
        <v/>
      </c>
      <c r="E32" s="11" t="inlineStr">
        <is>
          <t>良好:0分 | 一般:5分 | 恶劣:12分</t>
        </is>
      </c>
    </row>
    <row r="33">
      <c r="B33" s="4" t="inlineStr">
        <is>
          <t>14. 本航次载货类型</t>
        </is>
      </c>
      <c r="C33" s="5" t="inlineStr">
        <is>
          <t>请选择</t>
        </is>
      </c>
      <c r="D33" s="10">
        <f>IF(C33="普通货物/集装箱",0,IF(C33="包装危险品(IMDG)",5,IF(OR(C33="散装油类",C33="散装化学品/液化气"),10,0)))</f>
        <v/>
      </c>
      <c r="E33" s="11" t="inlineStr">
        <is>
          <t>普通货:0分 | 包装危险品:5分 | 散装油/化学品:10分</t>
        </is>
      </c>
    </row>
    <row r="34">
      <c r="B34" s="12" t="inlineStr">
        <is>
          <t>小计</t>
        </is>
      </c>
      <c r="C34" s="13">
        <f>SUM(D30:D33)</f>
        <v/>
      </c>
      <c r="D34" s="2" t="n"/>
      <c r="E34" s="14" t="inlineStr">
        <is>
          <t>满分25分</t>
        </is>
      </c>
    </row>
    <row r="36" ht="24" customHeight="1">
      <c r="B36" s="3" t="inlineStr">
        <is>
          <t>六、一票否决项检查（若任一项为"是"，直接定为🔴高风险）</t>
        </is>
      </c>
      <c r="C36" s="2" t="n"/>
      <c r="D36" s="2" t="n"/>
      <c r="E36" s="2" t="n"/>
    </row>
    <row r="37">
      <c r="B37" s="4" t="inlineStr">
        <is>
          <t>15. 近6个月内是否有PSC滞留记录？</t>
        </is>
      </c>
      <c r="C37" s="5" t="inlineStr">
        <is>
          <t>否</t>
        </is>
      </c>
      <c r="D37" s="15">
        <f>IF(C37="是","✓","")</f>
        <v/>
      </c>
      <c r="E37" s="16" t="inlineStr">
        <is>
          <t>如选"是"，触发一票否决</t>
        </is>
      </c>
    </row>
    <row r="38">
      <c r="B38" s="4" t="inlineStr">
        <is>
          <t>16. 船龄&gt;25年且为油轮/化学品船/液化气船？</t>
        </is>
      </c>
      <c r="C38" s="5" t="inlineStr">
        <is>
          <t>否</t>
        </is>
      </c>
      <c r="D38" s="15">
        <f>IF(C38="是","✓","")</f>
        <v/>
      </c>
      <c r="E38" s="16" t="inlineStr">
        <is>
          <t>如选"是"，触发一票否决</t>
        </is>
      </c>
    </row>
    <row r="39">
      <c r="B39" s="4" t="inlineStr">
        <is>
          <t>17. 配员符合率是否&lt;70%？</t>
        </is>
      </c>
      <c r="C39" s="5" t="inlineStr">
        <is>
          <t>否</t>
        </is>
      </c>
      <c r="D39" s="15">
        <f>IF(C39="是","✓","")</f>
        <v/>
      </c>
      <c r="E39" s="16" t="inlineStr">
        <is>
          <t>如选"是"，触发一票否决</t>
        </is>
      </c>
    </row>
    <row r="40">
      <c r="B40" s="4" t="inlineStr">
        <is>
          <t>18. 吃水余量是否&lt;0米（超吃水）？</t>
        </is>
      </c>
      <c r="C40" s="5" t="inlineStr">
        <is>
          <t>否</t>
        </is>
      </c>
      <c r="D40" s="15">
        <f>IF(C40="是","✓","")</f>
        <v/>
      </c>
      <c r="E40" s="16" t="inlineStr">
        <is>
          <t>如选"是"，触发一票否决</t>
        </is>
      </c>
    </row>
    <row r="41">
      <c r="B41" s="4" t="inlineStr">
        <is>
          <t>19. 关键船员证书过期≥3人或船长证书过期？</t>
        </is>
      </c>
      <c r="C41" s="5" t="inlineStr">
        <is>
          <t>否</t>
        </is>
      </c>
      <c r="D41" s="15">
        <f>IF(C41="是","✓","")</f>
        <v/>
      </c>
      <c r="E41" s="16" t="inlineStr">
        <is>
          <t>如选"是"，触发一票否决</t>
        </is>
      </c>
    </row>
    <row r="43" ht="24" customHeight="1">
      <c r="B43" s="3" t="inlineStr">
        <is>
          <t>七、重点风险提示（不纳入总分，供指挥中心和现场额外关注）</t>
        </is>
      </c>
      <c r="C43" s="2" t="n"/>
      <c r="D43" s="2" t="n"/>
      <c r="E43" s="2" t="n"/>
    </row>
    <row r="44">
      <c r="B44" s="4" t="inlineStr">
        <is>
          <t>20. 桥梁净空余量（桥梁通航净高 - 船舶水面以上最大高度）</t>
        </is>
      </c>
      <c r="C44" s="5" t="inlineStr">
        <is>
          <t>请选择</t>
        </is>
      </c>
      <c r="D44" s="17">
        <f>IF(C44="≥3.0米","✓ 正常",IF(C44="1.0-3.0米","△ 关注",IF(C44="0-1.0米","⚠️ 高风险","❌ 禁止通航")))</f>
        <v/>
      </c>
      <c r="E44" s="11" t="inlineStr">
        <is>
          <t>≥3m:正常 | 1-3m:关注 | 0-1m:⚠️高风险 | &lt;0m:禁止通航</t>
        </is>
      </c>
    </row>
    <row r="45">
      <c r="B45" s="4" t="inlineStr">
        <is>
          <t>21. 船长/驾驶员是否首次驾该船进东莞港</t>
        </is>
      </c>
      <c r="C45" s="5" t="inlineStr">
        <is>
          <t>请选择</t>
        </is>
      </c>
      <c r="D45" s="17">
        <f>IF(C45="否","✓ 熟悉",IF(C45="船长首次","△ 关注","⚠️ 高风险"))</f>
        <v/>
      </c>
      <c r="E45" s="11" t="inlineStr">
        <is>
          <t>非首航:熟悉 | 船长首次:△关注 | 均首次:⚠️高风险</t>
        </is>
      </c>
    </row>
    <row r="46">
      <c r="B46" s="4" t="inlineStr">
        <is>
          <t>22. 引航安排</t>
        </is>
      </c>
      <c r="C46" s="5" t="inlineStr">
        <is>
          <t>请选择</t>
        </is>
      </c>
      <c r="D46" s="17">
        <f>IF(C46="无需引航","自航",IF(C46="申请引航","有引航","强制引航"))</f>
        <v/>
      </c>
      <c r="E46" s="11" t="inlineStr">
        <is>
          <t>自航/申请引航/强制引航</t>
        </is>
      </c>
    </row>
    <row r="47">
      <c r="B47" s="4" t="inlineStr">
        <is>
          <t>23. 泊位吨级匹配情况</t>
        </is>
      </c>
      <c r="C47" s="5" t="inlineStr">
        <is>
          <t>请选择</t>
        </is>
      </c>
      <c r="D47" s="17">
        <f>IF(C47="匹配","✓ 正常",IF(C47="略微超配","△ 关注","⚠️ 高风险"))</f>
        <v/>
      </c>
      <c r="E47" s="11" t="inlineStr">
        <is>
          <t>匹配:正常 | 略超:△关注 | 明显超配:⚠️高风险</t>
        </is>
      </c>
    </row>
    <row r="48">
      <c r="B48" s="4" t="inlineStr">
        <is>
          <t>24. 重点船舶类型（根据上方船型自动判断）</t>
        </is>
      </c>
      <c r="C48" s="18">
        <f>IF(OR(C12="油轮",C12="化学品船",C12="液化气船(LNG/LPG)",C12="客船/滚装船"),"⚠️ 重点船舶","普通船舶")</f>
        <v/>
      </c>
      <c r="D48" s="19">
        <f>IF(C48="⚠️ 重点船舶","按重点船舶监管","")</f>
        <v/>
      </c>
      <c r="E48" s="11" t="inlineStr">
        <is>
          <t>油轮/化学品/LNG/客船自动标记为重点船舶，需额外关注</t>
        </is>
      </c>
    </row>
    <row r="50" ht="24" customHeight="1">
      <c r="B50" s="3" t="inlineStr">
        <is>
          <t>八、评估结果</t>
        </is>
      </c>
      <c r="C50" s="2" t="n"/>
      <c r="D50" s="2" t="n"/>
      <c r="E50" s="2" t="n"/>
    </row>
    <row r="51">
      <c r="B51" s="20" t="inlineStr">
        <is>
          <t>风险总分（四项之和）</t>
        </is>
      </c>
      <c r="C51" s="21">
        <f>SUM(D11:D13)+SUM(D17:D20)+SUM(D24:D26)+SUM(D30:D33)</f>
        <v/>
      </c>
      <c r="D51" s="2" t="n"/>
      <c r="E51" s="11" t="inlineStr">
        <is>
          <t>满分120分，得分越高风险越大</t>
        </is>
      </c>
    </row>
    <row r="52">
      <c r="B52" s="20" t="inlineStr">
        <is>
          <t>一票否决是否触发</t>
        </is>
      </c>
      <c r="C52" s="22">
        <f>IF(OR(C37="是",C38="是",C39="是",C40="是",C41="是"),"已触发","未触发")</f>
        <v/>
      </c>
      <c r="D52" s="2" t="n"/>
      <c r="E52" s="11" t="inlineStr">
        <is>
          <t>任一票决项为"是"即触发</t>
        </is>
      </c>
    </row>
    <row r="53">
      <c r="B53" s="23" t="inlineStr">
        <is>
          <t>最终风险等级</t>
        </is>
      </c>
      <c r="C53" s="24">
        <f>IF(C52="已触发","🔴 高风险",IF(C51&lt;=25,"🟢 低风险",IF(C51&lt;=50,"🟡 中风险","🔴 高风险")))</f>
        <v/>
      </c>
      <c r="D53" s="2" t="n"/>
      <c r="E53" s="11" t="inlineStr">
        <is>
          <t>🟢 ≤25分 | 🟡 26-50分 | 🔴 &gt;50分 或一票否决</t>
        </is>
      </c>
    </row>
    <row r="54" ht="90" customHeight="1">
      <c r="B54" s="20" t="inlineStr">
        <is>
          <t>建议措施</t>
        </is>
      </c>
      <c r="C54" s="25">
        <f>IF(C52="已触发","一票否决触发，建议：①暂缓审批进港手续；②强制引航+拖轮协助；③登轮扩大检查范围；④必要时要求船方出具整改承诺",IF(C53="🟢 低风险","🟢 低风险：可予以通关便利，按常规比例抽查或免于登轮检查。",IF(C53="🟡 中风险","🟡 中风险：建议安排登轮检查，重点核查本船历史缺陷项和船员配员情况。","🔴 高风险：建议①优先安排登轮检查；②扩大检查范围（消防安全+救生+航行安全）；③视情要求船方整改后作业；④重大风险可暂缓装卸货。")))</f>
        <v/>
      </c>
      <c r="D54" s="2" t="n"/>
      <c r="E54" s="2" t="n"/>
    </row>
    <row r="55" ht="80" customHeight="1">
      <c r="B55" s="20" t="inlineStr">
        <is>
          <t>重点风险关注清单</t>
        </is>
      </c>
      <c r="C55" s="26">
        <f>CONCATENATE(IF(D44="❌ 禁止通航","【超高】该船可能超高，禁止通航；",""),IF(D44="⚠️ 高风险","【超高】桥梁净空不足，需特别关注；",""),IF(D45="⚠️ 高风险","【首航】船长及驾驶员均首次进港，建议强制引航；",""),IF(D45="△ 关注","【首航】船长首次进港，建议安排引航；",""),IF(D47="⚠️ 高风险","【泊位】船舶明显超泊位设计吨级，需论证靠泊方案；",""),IF(C48="⚠️ 重点船舶","【重点船型】该船为油轮/化学品/液化气/客船，按重点船舶监管要求执行；",""),IF(C46="强制引航","【引航】强制引航船舶，确保引航员按时到位；",""))</f>
        <v/>
      </c>
      <c r="D55" s="2" t="n"/>
      <c r="E55" s="2" t="n"/>
    </row>
  </sheetData>
  <mergeCells count="18">
    <mergeCell ref="C54:E54"/>
    <mergeCell ref="C34:D34"/>
    <mergeCell ref="B23:E23"/>
    <mergeCell ref="B1:E1"/>
    <mergeCell ref="C21:D21"/>
    <mergeCell ref="B50:E50"/>
    <mergeCell ref="B43:E43"/>
    <mergeCell ref="C55:E55"/>
    <mergeCell ref="C51:D51"/>
    <mergeCell ref="C27:D27"/>
    <mergeCell ref="B16:E16"/>
    <mergeCell ref="B29:E29"/>
    <mergeCell ref="C14:D14"/>
    <mergeCell ref="B2:E2"/>
    <mergeCell ref="C52:D52"/>
    <mergeCell ref="C53:D53"/>
    <mergeCell ref="B10:E10"/>
    <mergeCell ref="B36:E36"/>
  </mergeCells>
  <conditionalFormatting sqref="C51">
    <cfRule type="expression" priority="1" dxfId="0">
      <formula>$C$51&lt;=25</formula>
    </cfRule>
    <cfRule type="expression" priority="2" dxfId="1">
      <formula>AND($C$51&gt;25,$C$51&lt;=50)</formula>
    </cfRule>
    <cfRule type="expression" priority="3" dxfId="2">
      <formula>$C$51&gt;50</formula>
    </cfRule>
    <cfRule type="dataBar" priority="7">
      <dataBar showValue="1">
        <cfvo type="num" val="0"/>
        <cfvo type="num" val="120"/>
        <color rgb="00FF6C6C"/>
      </dataBar>
    </cfRule>
  </conditionalFormatting>
  <conditionalFormatting sqref="C53">
    <cfRule type="expression" priority="4" dxfId="0">
      <formula>ISNUMBER(SEARCH("低风险",$C$53))</formula>
    </cfRule>
    <cfRule type="expression" priority="5" dxfId="1">
      <formula>ISNUMBER(SEARCH("中风险",$C$53))</formula>
    </cfRule>
    <cfRule type="expression" priority="6" dxfId="2">
      <formula>OR(ISNUMBER(SEARCH("高风险",$C$53)),$C$52="已触发")</formula>
    </cfRule>
  </conditionalFormatting>
  <dataValidations count="23">
    <dataValidation sqref="C11" showDropDown="0" showInputMessage="0" showErrorMessage="0" allowBlank="0" errorTitle="输入错误" error="请从下拉列表中选择" type="list">
      <formula1>"≤10年,10-15年,15-20年,20-25年,&gt;25年"</formula1>
    </dataValidation>
    <dataValidation sqref="C12" showDropDown="0" showInputMessage="0" showErrorMessage="0" allowBlank="0" type="list">
      <formula1>"普通货船/集装箱船,散货船,油轮,化学品船,液化气船(LNG/LPG),客船/滚装船"</formula1>
    </dataValidation>
    <dataValidation sqref="C13" showDropDown="0" showInputMessage="0" showErrorMessage="0" allowBlank="0" type="list">
      <formula1>"白名单,灰名单,黑名单,未知/未列入"</formula1>
    </dataValidation>
    <dataValidation sqref="C17" showDropDown="0" showInputMessage="0" showErrorMessage="0" allowBlank="0" type="list">
      <formula1>"0次,1次,2次,3次及以上"</formula1>
    </dataValidation>
    <dataValidation sqref="C18" showDropDown="0" showInputMessage="0" showErrorMessage="0" allowBlank="0" type="list">
      <formula1>"0次,1次,2次,3次及以上"</formula1>
    </dataValidation>
    <dataValidation sqref="C19" showDropDown="0" showInputMessage="0" showErrorMessage="0" allowBlank="0" type="list">
      <formula1>"0个,1-3个,4-6个,7个及以上"</formula1>
    </dataValidation>
    <dataValidation sqref="C20" showDropDown="0" showInputMessage="0" showErrorMessage="0" allowBlank="0" type="list">
      <formula1>"无记录,有缺陷记录,曾滞留"</formula1>
    </dataValidation>
    <dataValidation sqref="C24" showDropDown="0" showInputMessage="0" showErrorMessage="0" allowBlank="0" type="list">
      <formula1>"100%,90%-99%,80%-89%,70%-79%,&lt;70%"</formula1>
    </dataValidation>
    <dataValidation sqref="C25" showDropDown="0" showInputMessage="0" showErrorMessage="0" allowBlank="0" type="list">
      <formula1>"无过期,1-2人过期,3人及以上过期"</formula1>
    </dataValidation>
    <dataValidation sqref="C26" showDropDown="0" showInputMessage="0" showErrorMessage="0" allowBlank="0" type="list">
      <formula1>"≥12个月,6-12个月,3-6个月,&lt;3个月,本航次新上船"</formula1>
    </dataValidation>
    <dataValidation sqref="C30" showDropDown="0" showInputMessage="0" showErrorMessage="0" allowBlank="0" type="list">
      <formula1>"≥2.0米,1.0-2.0米,0.5-1.0米,0-0.5米,&lt;0米(超吃水)"</formula1>
    </dataValidation>
    <dataValidation sqref="C31" showDropDown="0" showInputMessage="0" showErrorMessage="0" allowBlank="0" type="list">
      <formula1>"白天(日出-日落),夜间,凌晨(00:00-06:00)"</formula1>
    </dataValidation>
    <dataValidation sqref="C32" showDropDown="0" showInputMessage="0" showErrorMessage="0" allowBlank="0" type="list">
      <formula1>"良好(晴/多云),一般(阴/小雨/轻雾),恶劣(大风/暴雨/大雾)"</formula1>
    </dataValidation>
    <dataValidation sqref="C33" showDropDown="0" showInputMessage="0" showErrorMessage="0" allowBlank="0" type="list">
      <formula1>"普通货物/集装箱,包装危险品(IMDG),散装油类,散装化学品/液化气"</formula1>
    </dataValidation>
    <dataValidation sqref="C37" showDropDown="0" showInputMessage="0" showErrorMessage="0" allowBlank="0" type="list">
      <formula1>"否,是"</formula1>
    </dataValidation>
    <dataValidation sqref="C38" showDropDown="0" showInputMessage="0" showErrorMessage="0" allowBlank="0" type="list">
      <formula1>"否,是"</formula1>
    </dataValidation>
    <dataValidation sqref="C39" showDropDown="0" showInputMessage="0" showErrorMessage="0" allowBlank="0" type="list">
      <formula1>"否,是"</formula1>
    </dataValidation>
    <dataValidation sqref="C40" showDropDown="0" showInputMessage="0" showErrorMessage="0" allowBlank="0" type="list">
      <formula1>"否,是"</formula1>
    </dataValidation>
    <dataValidation sqref="C41" showDropDown="0" showInputMessage="0" showErrorMessage="0" allowBlank="0" type="list">
      <formula1>"否,是"</formula1>
    </dataValidation>
    <dataValidation sqref="C44" showDropDown="0" showInputMessage="0" showErrorMessage="0" allowBlank="0" type="list">
      <formula1>"≥3.0米,1.0-3.0米,0-1.0米,&lt;0米(超高)"</formula1>
    </dataValidation>
    <dataValidation sqref="C45" showDropDown="0" showInputMessage="0" showErrorMessage="0" allowBlank="0" type="list">
      <formula1>"否,船长首次,船长+驾驶员均首次"</formula1>
    </dataValidation>
    <dataValidation sqref="C46" showDropDown="0" showInputMessage="0" showErrorMessage="0" allowBlank="0" type="list">
      <formula1>"无需引航,申请引航,强制引航"</formula1>
    </dataValidation>
    <dataValidation sqref="C47" showDropDown="0" showInputMessage="0" showErrorMessage="0" allowBlank="0" type="list">
      <formula1>"匹配,略微超配,明显超配"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B1:O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0" customWidth="1" min="14" max="14"/>
  </cols>
  <sheetData>
    <row r="1" ht="32" customHeight="1">
      <c r="B1" s="1" t="inlineStr">
        <is>
          <t>首靠船日报清单（东莞辖区）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B2" s="20" t="inlineStr">
        <is>
          <t>日期：______________    值班长签字：______________    共 ____ 艘首靠船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8" customHeight="1">
      <c r="B3" s="27" t="inlineStr">
        <is>
          <t>序号</t>
        </is>
      </c>
      <c r="C3" s="27" t="inlineStr">
        <is>
          <t>日期</t>
        </is>
      </c>
      <c r="D3" s="27" t="inlineStr">
        <is>
          <t>船名</t>
        </is>
      </c>
      <c r="E3" s="27" t="inlineStr">
        <is>
          <t>IMO</t>
        </is>
      </c>
      <c r="F3" s="27" t="inlineStr">
        <is>
          <t>ETA</t>
        </is>
      </c>
      <c r="G3" s="27" t="inlineStr">
        <is>
          <t>船型</t>
        </is>
      </c>
      <c r="H3" s="27" t="inlineStr">
        <is>
          <t>风险等级</t>
        </is>
      </c>
      <c r="I3" s="27" t="inlineStr">
        <is>
          <t>重点船舶</t>
        </is>
      </c>
      <c r="J3" s="27" t="inlineStr">
        <is>
          <t>桥梁净空</t>
        </is>
      </c>
      <c r="K3" s="27" t="inlineStr">
        <is>
          <t>驾驶员首航</t>
        </is>
      </c>
      <c r="L3" s="27" t="inlineStr">
        <is>
          <t>引航</t>
        </is>
      </c>
      <c r="M3" s="27" t="inlineStr">
        <is>
          <t>泊位匹配</t>
        </is>
      </c>
      <c r="N3" s="27" t="inlineStr">
        <is>
          <t>一票否决</t>
        </is>
      </c>
      <c r="O3" s="27" t="inlineStr">
        <is>
          <t>评估人</t>
        </is>
      </c>
    </row>
    <row r="4" ht="22" customHeight="1">
      <c r="B4" s="28" t="inlineStr">
        <is>
          <t>1</t>
        </is>
      </c>
      <c r="C4" s="28" t="inlineStr">
        <is>
          <t>2026-05-10</t>
        </is>
      </c>
      <c r="D4" s="28" t="inlineStr">
        <is>
          <t>海发轮</t>
        </is>
      </c>
      <c r="E4" s="28" t="inlineStr">
        <is>
          <t>9876543</t>
        </is>
      </c>
      <c r="F4" s="28" t="inlineStr">
        <is>
          <t>08:30</t>
        </is>
      </c>
      <c r="G4" s="28" t="inlineStr">
        <is>
          <t>散货船</t>
        </is>
      </c>
      <c r="H4" s="29" t="inlineStr">
        <is>
          <t>🟡 中风险</t>
        </is>
      </c>
      <c r="I4" s="28" t="inlineStr">
        <is>
          <t>普通船舶</t>
        </is>
      </c>
      <c r="J4" s="28" t="inlineStr">
        <is>
          <t>✓ 正常</t>
        </is>
      </c>
      <c r="K4" s="28" t="inlineStr">
        <is>
          <t>✓ 熟悉</t>
        </is>
      </c>
      <c r="L4" s="28" t="inlineStr">
        <is>
          <t>自航</t>
        </is>
      </c>
      <c r="M4" s="28" t="inlineStr">
        <is>
          <t>✓ 正常</t>
        </is>
      </c>
      <c r="N4" s="28" t="inlineStr">
        <is>
          <t>未触发</t>
        </is>
      </c>
      <c r="O4" s="28" t="inlineStr">
        <is>
          <t>张三</t>
        </is>
      </c>
    </row>
    <row r="5" ht="22" customHeight="1">
      <c r="B5" s="28" t="inlineStr">
        <is>
          <t>2</t>
        </is>
      </c>
      <c r="C5" s="28" t="inlineStr">
        <is>
          <t>2026-05-10</t>
        </is>
      </c>
      <c r="D5" s="28" t="inlineStr">
        <is>
          <t>东方油1</t>
        </is>
      </c>
      <c r="E5" s="28" t="inlineStr">
        <is>
          <t>8765432</t>
        </is>
      </c>
      <c r="F5" s="28" t="inlineStr">
        <is>
          <t>14:00</t>
        </is>
      </c>
      <c r="G5" s="28" t="inlineStr">
        <is>
          <t>油轮</t>
        </is>
      </c>
      <c r="H5" s="30" t="inlineStr">
        <is>
          <t>🔴 高风险</t>
        </is>
      </c>
      <c r="I5" s="31" t="inlineStr">
        <is>
          <t>⚠️ 重点船舶</t>
        </is>
      </c>
      <c r="J5" s="28" t="inlineStr">
        <is>
          <t>✓ 正常</t>
        </is>
      </c>
      <c r="K5" s="28" t="inlineStr">
        <is>
          <t>△ 关注</t>
        </is>
      </c>
      <c r="L5" s="28" t="inlineStr">
        <is>
          <t>强制引航</t>
        </is>
      </c>
      <c r="M5" s="28" t="inlineStr">
        <is>
          <t>✓ 正常</t>
        </is>
      </c>
      <c r="N5" s="28" t="inlineStr">
        <is>
          <t>未触发</t>
        </is>
      </c>
      <c r="O5" s="28" t="inlineStr">
        <is>
          <t>李四</t>
        </is>
      </c>
    </row>
    <row r="6" ht="22" customHeight="1">
      <c r="B6" s="28" t="inlineStr">
        <is>
          <t>3</t>
        </is>
      </c>
      <c r="C6" s="28" t="inlineStr">
        <is>
          <t>2026-05-10</t>
        </is>
      </c>
      <c r="D6" s="28" t="inlineStr">
        <is>
          <t>长江之星</t>
        </is>
      </c>
      <c r="E6" s="28" t="inlineStr">
        <is>
          <t>7654321</t>
        </is>
      </c>
      <c r="F6" s="28" t="inlineStr">
        <is>
          <t>22:30</t>
        </is>
      </c>
      <c r="G6" s="28" t="inlineStr">
        <is>
          <t>集装箱船</t>
        </is>
      </c>
      <c r="H6" s="32" t="inlineStr">
        <is>
          <t>🟢 低风险</t>
        </is>
      </c>
      <c r="I6" s="28" t="inlineStr">
        <is>
          <t>普通船舶</t>
        </is>
      </c>
      <c r="J6" s="28" t="inlineStr">
        <is>
          <t>✓ 正常</t>
        </is>
      </c>
      <c r="K6" s="28" t="inlineStr">
        <is>
          <t>✓ 熟悉</t>
        </is>
      </c>
      <c r="L6" s="28" t="inlineStr">
        <is>
          <t>申请引航</t>
        </is>
      </c>
      <c r="M6" s="28" t="inlineStr">
        <is>
          <t>✓ 正常</t>
        </is>
      </c>
      <c r="N6" s="28" t="inlineStr">
        <is>
          <t>未触发</t>
        </is>
      </c>
      <c r="O6" s="28" t="inlineStr">
        <is>
          <t>王五</t>
        </is>
      </c>
    </row>
    <row r="7" ht="22" customHeight="1">
      <c r="B7" s="2" t="n"/>
      <c r="C7" s="2" t="n"/>
      <c r="D7" s="2" t="n"/>
      <c r="E7" s="2" t="n"/>
      <c r="F7" s="2" t="n"/>
      <c r="G7" s="2" t="n"/>
      <c r="H7" s="2" t="n"/>
      <c r="I7" s="28" t="n"/>
      <c r="J7" s="2" t="n"/>
      <c r="K7" s="2" t="n"/>
      <c r="L7" s="2" t="n"/>
      <c r="M7" s="28" t="n"/>
      <c r="N7" s="2" t="n"/>
    </row>
    <row r="8" ht="22" customHeight="1">
      <c r="B8" s="2" t="n"/>
      <c r="C8" s="2" t="n"/>
      <c r="D8" s="2" t="n"/>
      <c r="E8" s="2" t="n"/>
      <c r="F8" s="2" t="n"/>
      <c r="G8" s="2" t="n"/>
      <c r="H8" s="2" t="n"/>
      <c r="I8" s="28" t="n"/>
      <c r="J8" s="2" t="n"/>
      <c r="K8" s="2" t="n"/>
      <c r="L8" s="2" t="n"/>
      <c r="M8" s="28" t="n"/>
      <c r="N8" s="2" t="n"/>
    </row>
    <row r="9" ht="22" customHeight="1">
      <c r="B9" s="2" t="n"/>
      <c r="C9" s="2" t="n"/>
      <c r="D9" s="2" t="n"/>
      <c r="E9" s="2" t="n"/>
      <c r="F9" s="2" t="n"/>
      <c r="G9" s="2" t="n"/>
      <c r="H9" s="2" t="n"/>
      <c r="I9" s="28" t="n"/>
      <c r="J9" s="2" t="n"/>
      <c r="K9" s="2" t="n"/>
      <c r="L9" s="2" t="n"/>
      <c r="M9" s="28" t="n"/>
      <c r="N9" s="2" t="n"/>
    </row>
    <row r="10" ht="22" customHeight="1">
      <c r="B10" s="2" t="n"/>
      <c r="C10" s="2" t="n"/>
      <c r="D10" s="2" t="n"/>
      <c r="E10" s="2" t="n"/>
      <c r="F10" s="2" t="n"/>
      <c r="G10" s="2" t="n"/>
      <c r="H10" s="2" t="n"/>
      <c r="I10" s="28" t="n"/>
      <c r="J10" s="2" t="n"/>
      <c r="K10" s="2" t="n"/>
      <c r="L10" s="2" t="n"/>
      <c r="M10" s="28" t="n"/>
      <c r="N10" s="2" t="n"/>
    </row>
    <row r="11" ht="22" customHeight="1">
      <c r="B11" s="2" t="n"/>
      <c r="C11" s="2" t="n"/>
      <c r="D11" s="2" t="n"/>
      <c r="E11" s="2" t="n"/>
      <c r="F11" s="2" t="n"/>
      <c r="G11" s="2" t="n"/>
      <c r="H11" s="2" t="n"/>
      <c r="I11" s="28" t="n"/>
      <c r="J11" s="2" t="n"/>
      <c r="K11" s="2" t="n"/>
      <c r="L11" s="2" t="n"/>
      <c r="M11" s="28" t="n"/>
      <c r="N11" s="2" t="n"/>
    </row>
    <row r="12" ht="22" customHeight="1">
      <c r="B12" s="2" t="n"/>
      <c r="C12" s="2" t="n"/>
      <c r="D12" s="2" t="n"/>
      <c r="E12" s="2" t="n"/>
      <c r="F12" s="2" t="n"/>
      <c r="G12" s="2" t="n"/>
      <c r="H12" s="2" t="n"/>
      <c r="I12" s="28" t="n"/>
      <c r="J12" s="2" t="n"/>
      <c r="K12" s="2" t="n"/>
      <c r="L12" s="2" t="n"/>
      <c r="M12" s="28" t="n"/>
      <c r="N12" s="2" t="n"/>
    </row>
    <row r="13" ht="22" customHeight="1">
      <c r="B13" s="2" t="n"/>
      <c r="C13" s="2" t="n"/>
      <c r="D13" s="2" t="n"/>
      <c r="E13" s="2" t="n"/>
      <c r="F13" s="2" t="n"/>
      <c r="G13" s="2" t="n"/>
      <c r="H13" s="2" t="n"/>
      <c r="I13" s="28" t="n"/>
      <c r="J13" s="2" t="n"/>
      <c r="K13" s="2" t="n"/>
      <c r="L13" s="2" t="n"/>
      <c r="M13" s="28" t="n"/>
      <c r="N13" s="2" t="n"/>
    </row>
    <row r="14" ht="22" customHeight="1">
      <c r="B14" s="2" t="n"/>
      <c r="C14" s="2" t="n"/>
      <c r="D14" s="2" t="n"/>
      <c r="E14" s="2" t="n"/>
      <c r="F14" s="2" t="n"/>
      <c r="G14" s="2" t="n"/>
      <c r="H14" s="2" t="n"/>
      <c r="I14" s="28" t="n"/>
      <c r="J14" s="2" t="n"/>
      <c r="K14" s="2" t="n"/>
      <c r="L14" s="2" t="n"/>
      <c r="M14" s="28" t="n"/>
      <c r="N14" s="2" t="n"/>
    </row>
    <row r="15" ht="22" customHeight="1">
      <c r="B15" s="2" t="n"/>
      <c r="C15" s="2" t="n"/>
      <c r="D15" s="2" t="n"/>
      <c r="E15" s="2" t="n"/>
      <c r="F15" s="2" t="n"/>
      <c r="G15" s="2" t="n"/>
      <c r="H15" s="2" t="n"/>
      <c r="I15" s="28" t="n"/>
      <c r="J15" s="2" t="n"/>
      <c r="K15" s="2" t="n"/>
      <c r="L15" s="2" t="n"/>
      <c r="M15" s="28" t="n"/>
      <c r="N15" s="2" t="n"/>
    </row>
    <row r="16" ht="22" customHeight="1">
      <c r="B16" s="2" t="n"/>
      <c r="C16" s="2" t="n"/>
      <c r="D16" s="2" t="n"/>
      <c r="E16" s="2" t="n"/>
      <c r="F16" s="2" t="n"/>
      <c r="G16" s="2" t="n"/>
      <c r="H16" s="2" t="n"/>
      <c r="I16" s="28" t="n"/>
      <c r="J16" s="2" t="n"/>
      <c r="K16" s="2" t="n"/>
      <c r="L16" s="2" t="n"/>
      <c r="M16" s="28" t="n"/>
      <c r="N16" s="2" t="n"/>
    </row>
    <row r="17" ht="22" customHeight="1">
      <c r="B17" s="2" t="n"/>
      <c r="C17" s="2" t="n"/>
      <c r="D17" s="2" t="n"/>
      <c r="E17" s="2" t="n"/>
      <c r="F17" s="2" t="n"/>
      <c r="G17" s="2" t="n"/>
      <c r="H17" s="2" t="n"/>
      <c r="I17" s="28" t="n"/>
      <c r="J17" s="2" t="n"/>
      <c r="K17" s="2" t="n"/>
      <c r="L17" s="2" t="n"/>
      <c r="M17" s="28" t="n"/>
      <c r="N17" s="2" t="n"/>
    </row>
    <row r="18" ht="22" customHeight="1">
      <c r="B18" s="2" t="n"/>
      <c r="C18" s="2" t="n"/>
      <c r="D18" s="2" t="n"/>
      <c r="E18" s="2" t="n"/>
      <c r="F18" s="2" t="n"/>
      <c r="G18" s="2" t="n"/>
      <c r="H18" s="2" t="n"/>
      <c r="I18" s="28" t="n"/>
      <c r="J18" s="2" t="n"/>
      <c r="K18" s="2" t="n"/>
      <c r="L18" s="2" t="n"/>
      <c r="M18" s="28" t="n"/>
      <c r="N18" s="2" t="n"/>
    </row>
    <row r="19" ht="22" customHeight="1">
      <c r="B19" s="2" t="n"/>
      <c r="C19" s="2" t="n"/>
      <c r="D19" s="2" t="n"/>
      <c r="E19" s="2" t="n"/>
      <c r="F19" s="2" t="n"/>
      <c r="G19" s="2" t="n"/>
      <c r="H19" s="2" t="n"/>
      <c r="I19" s="28" t="n"/>
      <c r="J19" s="2" t="n"/>
      <c r="K19" s="2" t="n"/>
      <c r="L19" s="2" t="n"/>
      <c r="M19" s="28" t="n"/>
      <c r="N19" s="2" t="n"/>
    </row>
    <row r="20" ht="22" customHeight="1">
      <c r="B20" s="2" t="n"/>
      <c r="C20" s="2" t="n"/>
      <c r="D20" s="2" t="n"/>
      <c r="E20" s="2" t="n"/>
      <c r="F20" s="2" t="n"/>
      <c r="G20" s="2" t="n"/>
      <c r="H20" s="2" t="n"/>
      <c r="I20" s="28" t="n"/>
      <c r="J20" s="2" t="n"/>
      <c r="K20" s="2" t="n"/>
      <c r="L20" s="2" t="n"/>
      <c r="M20" s="28" t="n"/>
      <c r="N20" s="2" t="n"/>
    </row>
    <row r="21" ht="22" customHeight="1">
      <c r="B21" s="2" t="n"/>
      <c r="C21" s="2" t="n"/>
      <c r="D21" s="2" t="n"/>
      <c r="E21" s="2" t="n"/>
      <c r="F21" s="2" t="n"/>
      <c r="G21" s="2" t="n"/>
      <c r="H21" s="2" t="n"/>
      <c r="I21" s="28" t="n"/>
      <c r="J21" s="2" t="n"/>
      <c r="K21" s="2" t="n"/>
      <c r="L21" s="2" t="n"/>
      <c r="M21" s="28" t="n"/>
      <c r="N21" s="2" t="n"/>
    </row>
    <row r="22" ht="22" customHeight="1">
      <c r="B22" s="2" t="n"/>
      <c r="C22" s="2" t="n"/>
      <c r="D22" s="2" t="n"/>
      <c r="E22" s="2" t="n"/>
      <c r="F22" s="2" t="n"/>
      <c r="G22" s="2" t="n"/>
      <c r="H22" s="2" t="n"/>
      <c r="I22" s="28" t="n"/>
      <c r="J22" s="2" t="n"/>
      <c r="K22" s="2" t="n"/>
      <c r="L22" s="2" t="n"/>
      <c r="M22" s="28" t="n"/>
      <c r="N22" s="2" t="n"/>
    </row>
    <row r="23" ht="22" customHeight="1">
      <c r="B23" s="2" t="n"/>
      <c r="C23" s="2" t="n"/>
      <c r="D23" s="2" t="n"/>
      <c r="E23" s="2" t="n"/>
      <c r="F23" s="2" t="n"/>
      <c r="G23" s="2" t="n"/>
      <c r="H23" s="2" t="n"/>
      <c r="I23" s="28" t="n"/>
      <c r="J23" s="2" t="n"/>
      <c r="K23" s="2" t="n"/>
      <c r="L23" s="2" t="n"/>
      <c r="M23" s="28" t="n"/>
      <c r="N23" s="2" t="n"/>
    </row>
    <row r="24" ht="22" customHeight="1">
      <c r="B24" s="2" t="n"/>
      <c r="C24" s="2" t="n"/>
      <c r="D24" s="2" t="n"/>
      <c r="E24" s="2" t="n"/>
      <c r="F24" s="2" t="n"/>
      <c r="G24" s="2" t="n"/>
      <c r="H24" s="2" t="n"/>
      <c r="I24" s="28" t="n"/>
      <c r="J24" s="2" t="n"/>
      <c r="K24" s="2" t="n"/>
      <c r="L24" s="2" t="n"/>
      <c r="M24" s="28" t="n"/>
      <c r="N24" s="2" t="n"/>
    </row>
    <row r="25" ht="22" customHeight="1">
      <c r="B25" s="2" t="n"/>
      <c r="C25" s="2" t="n"/>
      <c r="D25" s="2" t="n"/>
      <c r="E25" s="2" t="n"/>
      <c r="F25" s="2" t="n"/>
      <c r="G25" s="2" t="n"/>
      <c r="H25" s="2" t="n"/>
      <c r="I25" s="28" t="n"/>
      <c r="J25" s="2" t="n"/>
      <c r="K25" s="2" t="n"/>
      <c r="L25" s="2" t="n"/>
      <c r="M25" s="28" t="n"/>
      <c r="N25" s="2" t="n"/>
    </row>
    <row r="26" ht="22" customHeight="1">
      <c r="B26" s="2" t="n"/>
      <c r="C26" s="2" t="n"/>
      <c r="D26" s="2" t="n"/>
      <c r="E26" s="2" t="n"/>
      <c r="F26" s="2" t="n"/>
      <c r="G26" s="2" t="n"/>
      <c r="H26" s="2" t="n"/>
      <c r="I26" s="28" t="n"/>
      <c r="J26" s="2" t="n"/>
      <c r="K26" s="2" t="n"/>
      <c r="L26" s="2" t="n"/>
      <c r="M26" s="28" t="n"/>
      <c r="N26" s="2" t="n"/>
    </row>
    <row r="28" ht="24" customHeight="1">
      <c r="B28" s="3" t="inlineStr">
        <is>
          <t>当日统计</t>
        </is>
      </c>
      <c r="C28" s="2" t="n"/>
      <c r="D28" s="2" t="n"/>
      <c r="E28" s="2" t="n"/>
    </row>
    <row r="29" ht="24" customHeight="1">
      <c r="B29" s="33" t="inlineStr">
        <is>
          <t>🟢 低风险</t>
        </is>
      </c>
      <c r="C29" s="34">
        <f>COUNTIF(G4:G26,"*低风险*")</f>
        <v/>
      </c>
      <c r="D29" s="35" t="inlineStr">
        <is>
          <t>艘</t>
        </is>
      </c>
      <c r="E29" s="2" t="n"/>
    </row>
    <row r="30" ht="24" customHeight="1">
      <c r="B30" s="33" t="inlineStr">
        <is>
          <t>🟡 中风险</t>
        </is>
      </c>
      <c r="C30" s="36">
        <f>COUNTIF(G4:G26,"*中风险*")</f>
        <v/>
      </c>
      <c r="D30" s="35" t="inlineStr">
        <is>
          <t>艘</t>
        </is>
      </c>
      <c r="E30" s="2" t="n"/>
    </row>
    <row r="31" ht="24" customHeight="1">
      <c r="B31" s="33" t="inlineStr">
        <is>
          <t>🔴 高风险</t>
        </is>
      </c>
      <c r="C31" s="37">
        <f>COUNTIF(G4:G26,"*高风险*")</f>
        <v/>
      </c>
      <c r="D31" s="35" t="inlineStr">
        <is>
          <t>艘</t>
        </is>
      </c>
      <c r="E31" s="2" t="n"/>
    </row>
    <row r="32" ht="24" customHeight="1">
      <c r="B32" s="33" t="inlineStr">
        <is>
          <t>⚠️ 重点船舶</t>
        </is>
      </c>
      <c r="C32" s="37">
        <f>COUNTIF(H4:H26,"*重点船舶*")</f>
        <v/>
      </c>
      <c r="D32" s="35" t="inlineStr">
        <is>
          <t>艘</t>
        </is>
      </c>
      <c r="E32" s="2" t="n"/>
    </row>
    <row r="33" ht="24" customHeight="1">
      <c r="B33" s="33" t="inlineStr">
        <is>
          <t>❌ 一票否决触发</t>
        </is>
      </c>
      <c r="C33" s="37">
        <f>COUNTIF(M4:M26,"已触发")</f>
        <v/>
      </c>
      <c r="D33" s="35" t="inlineStr">
        <is>
          <t>艘</t>
        </is>
      </c>
      <c r="E33" s="2" t="n"/>
    </row>
    <row r="34" ht="36" customHeight="1">
      <c r="B34" s="38" t="inlineStr">
        <is>
          <t>说明：每日将当天所有首靠船的关键信息填入本表，实现'一眼掌握'当日风险态势。统计区会自动汇总各等级数量。风险等级和重点标记请从单船评估表中复制。</t>
        </is>
      </c>
    </row>
  </sheetData>
  <mergeCells count="9">
    <mergeCell ref="D30:E30"/>
    <mergeCell ref="B1:N1"/>
    <mergeCell ref="D33:E33"/>
    <mergeCell ref="D29:E29"/>
    <mergeCell ref="D32:E32"/>
    <mergeCell ref="D31:E31"/>
    <mergeCell ref="B28:E28"/>
    <mergeCell ref="B2:N2"/>
    <mergeCell ref="B34:N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D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15" customWidth="1" min="4" max="4"/>
  </cols>
  <sheetData>
    <row r="1">
      <c r="B1" s="1" t="inlineStr">
        <is>
          <t>评分标准速查表</t>
        </is>
      </c>
      <c r="C1" s="2" t="n"/>
      <c r="D1" s="2" t="n"/>
    </row>
    <row r="2">
      <c r="B2" s="4" t="inlineStr">
        <is>
          <t>船舶固有风险（满分30）</t>
        </is>
      </c>
      <c r="C2" s="39" t="inlineStr"/>
      <c r="D2" s="40" t="inlineStr"/>
    </row>
    <row r="3">
      <c r="B3" s="4" t="inlineStr">
        <is>
          <t>船龄</t>
        </is>
      </c>
      <c r="C3" s="39" t="inlineStr">
        <is>
          <t>≤10年 / 10-15年 / 15-20年 / 20-25年 / &gt;25年</t>
        </is>
      </c>
      <c r="D3" s="40" t="inlineStr">
        <is>
          <t>0 / 5 / 10 / 15 / 20</t>
        </is>
      </c>
    </row>
    <row r="4">
      <c r="B4" s="4" t="inlineStr">
        <is>
          <t>船型</t>
        </is>
      </c>
      <c r="C4" s="39" t="inlineStr">
        <is>
          <t>普通货船/集装箱 / 散货船 / 油轮/化学品/LNG / 客船/滚装</t>
        </is>
      </c>
      <c r="D4" s="40" t="inlineStr">
        <is>
          <t>0 / 3 / 5 / 4</t>
        </is>
      </c>
    </row>
    <row r="5">
      <c r="B5" s="4" t="inlineStr">
        <is>
          <t>船旗国</t>
        </is>
      </c>
      <c r="C5" s="39" t="inlineStr">
        <is>
          <t>白名单 / 灰名单 / 黑名单 / 未知</t>
        </is>
      </c>
      <c r="D5" s="40" t="inlineStr">
        <is>
          <t>0 / 5 / 10 / 3</t>
        </is>
      </c>
    </row>
    <row r="6">
      <c r="B6" s="4" t="inlineStr"/>
      <c r="C6" s="39" t="inlineStr"/>
      <c r="D6" s="40" t="inlineStr"/>
    </row>
    <row r="7">
      <c r="B7" s="4" t="inlineStr">
        <is>
          <t>历史安全绩效（满分40）</t>
        </is>
      </c>
      <c r="C7" s="39" t="inlineStr"/>
      <c r="D7" s="40" t="inlineStr"/>
    </row>
    <row r="8">
      <c r="B8" s="4" t="inlineStr">
        <is>
          <t>近12月PSC检查</t>
        </is>
      </c>
      <c r="C8" s="39" t="inlineStr">
        <is>
          <t>0次 / 1次 / 2次 / ≥3次</t>
        </is>
      </c>
      <c r="D8" s="40" t="inlineStr">
        <is>
          <t>0 / 3 / 8 / 15</t>
        </is>
      </c>
    </row>
    <row r="9">
      <c r="B9" s="4" t="inlineStr">
        <is>
          <t>近36月滞留</t>
        </is>
      </c>
      <c r="C9" s="39" t="inlineStr">
        <is>
          <t>0次 / 1次 / 2次 / ≥3次</t>
        </is>
      </c>
      <c r="D9" s="40" t="inlineStr">
        <is>
          <t>0 / 10 / 20 / 30</t>
        </is>
      </c>
    </row>
    <row r="10">
      <c r="B10" s="4" t="inlineStr">
        <is>
          <t>近12月缺陷数</t>
        </is>
      </c>
      <c r="C10" s="39" t="inlineStr">
        <is>
          <t>0个 / 1-3个 / 4-6个 / ≥7个</t>
        </is>
      </c>
      <c r="D10" s="40" t="inlineStr">
        <is>
          <t>0 / 5 / 10 / 15</t>
        </is>
      </c>
    </row>
    <row r="11">
      <c r="B11" s="4" t="inlineStr">
        <is>
          <t>东莞历史记录</t>
        </is>
      </c>
      <c r="C11" s="39" t="inlineStr">
        <is>
          <t>无记录 / 有缺陷 / 曾滞留</t>
        </is>
      </c>
      <c r="D11" s="40" t="inlineStr">
        <is>
          <t>0 / 5 / 15</t>
        </is>
      </c>
    </row>
    <row r="12">
      <c r="B12" s="4" t="inlineStr"/>
      <c r="C12" s="39" t="inlineStr"/>
      <c r="D12" s="40" t="inlineStr"/>
    </row>
    <row r="13">
      <c r="B13" s="4" t="inlineStr">
        <is>
          <t>船员与配员风险（满分25）</t>
        </is>
      </c>
      <c r="C13" s="39" t="inlineStr"/>
      <c r="D13" s="40" t="inlineStr"/>
    </row>
    <row r="14">
      <c r="B14" s="4" t="inlineStr">
        <is>
          <t>配员符合率</t>
        </is>
      </c>
      <c r="C14" s="39" t="inlineStr">
        <is>
          <t>100% / 90-99% / 80-89% / 70-79% / &lt;70%</t>
        </is>
      </c>
      <c r="D14" s="40" t="inlineStr">
        <is>
          <t>0 / 5 / 10 / 15 / 25</t>
        </is>
      </c>
    </row>
    <row r="15">
      <c r="B15" s="4" t="inlineStr">
        <is>
          <t>证书过期</t>
        </is>
      </c>
      <c r="C15" s="39" t="inlineStr">
        <is>
          <t>无过期 / 1-2人 / ≥3人</t>
        </is>
      </c>
      <c r="D15" s="40" t="inlineStr">
        <is>
          <t>0 / 5 / 12</t>
        </is>
      </c>
    </row>
    <row r="16">
      <c r="B16" s="4" t="inlineStr">
        <is>
          <t>关键岗位资历</t>
        </is>
      </c>
      <c r="C16" s="39" t="inlineStr">
        <is>
          <t>≥12月 / 6-12月 / 3-6月 / &lt;3月 / 新上船</t>
        </is>
      </c>
      <c r="D16" s="40" t="inlineStr">
        <is>
          <t>0 / 2 / 5 / 8 / 10</t>
        </is>
      </c>
    </row>
    <row r="17">
      <c r="B17" s="4" t="inlineStr"/>
      <c r="C17" s="39" t="inlineStr"/>
      <c r="D17" s="40" t="inlineStr"/>
    </row>
    <row r="18">
      <c r="B18" s="4" t="inlineStr">
        <is>
          <t>航行与通航风险（满分25）</t>
        </is>
      </c>
      <c r="C18" s="39" t="inlineStr"/>
      <c r="D18" s="40" t="inlineStr"/>
    </row>
    <row r="19">
      <c r="B19" s="4" t="inlineStr">
        <is>
          <t>吃水余量</t>
        </is>
      </c>
      <c r="C19" s="39" t="inlineStr">
        <is>
          <t>≥2m / 1-2m / 0.5-1m / 0-0.5m / &lt;0m</t>
        </is>
      </c>
      <c r="D19" s="40" t="inlineStr">
        <is>
          <t>0 / 5 / 10 / 20 / 25</t>
        </is>
      </c>
    </row>
    <row r="20">
      <c r="B20" s="4" t="inlineStr">
        <is>
          <t>到港时段</t>
        </is>
      </c>
      <c r="C20" s="39" t="inlineStr">
        <is>
          <t>白天 / 夜间 / 凌晨(00-06)</t>
        </is>
      </c>
      <c r="D20" s="40" t="inlineStr">
        <is>
          <t>0 / 3 / 5</t>
        </is>
      </c>
    </row>
    <row r="21">
      <c r="B21" s="4" t="inlineStr">
        <is>
          <t>气象条件</t>
        </is>
      </c>
      <c r="C21" s="39" t="inlineStr">
        <is>
          <t>良好 / 一般 / 恶劣</t>
        </is>
      </c>
      <c r="D21" s="40" t="inlineStr">
        <is>
          <t>0 / 5 / 12</t>
        </is>
      </c>
    </row>
    <row r="22">
      <c r="B22" s="4" t="inlineStr">
        <is>
          <t>载货类型</t>
        </is>
      </c>
      <c r="C22" s="39" t="inlineStr">
        <is>
          <t>普通货 / 包装危险品 / 散装油/化学品</t>
        </is>
      </c>
      <c r="D22" s="40" t="inlineStr">
        <is>
          <t>0 / 5 / 10</t>
        </is>
      </c>
    </row>
    <row r="23">
      <c r="B23" s="4" t="inlineStr"/>
      <c r="C23" s="39" t="inlineStr"/>
      <c r="D23" s="40" t="inlineStr"/>
    </row>
    <row r="24" ht="22" customHeight="1">
      <c r="B24" s="3" t="inlineStr">
        <is>
          <t>风险等级划分</t>
        </is>
      </c>
      <c r="C24" s="3" t="inlineStr"/>
      <c r="D24" s="3" t="inlineStr"/>
    </row>
    <row r="25">
      <c r="B25" s="17" t="inlineStr">
        <is>
          <t>🟢 低风险</t>
        </is>
      </c>
      <c r="C25" s="41" t="inlineStr">
        <is>
          <t>总分 ≤ 25分</t>
        </is>
      </c>
      <c r="D25" s="41" t="inlineStr">
        <is>
          <t>常规抽查或免查</t>
        </is>
      </c>
    </row>
    <row r="26">
      <c r="B26" s="17" t="inlineStr">
        <is>
          <t>🟡 中风险</t>
        </is>
      </c>
      <c r="C26" s="41" t="inlineStr">
        <is>
          <t>总分 26-50分</t>
        </is>
      </c>
      <c r="D26" s="41" t="inlineStr">
        <is>
          <t>安排登轮检查，重点核查</t>
        </is>
      </c>
    </row>
    <row r="27">
      <c r="B27" s="17" t="inlineStr">
        <is>
          <t>🔴 高风险</t>
        </is>
      </c>
      <c r="C27" s="41" t="inlineStr">
        <is>
          <t>总分 &gt; 50分 或 一票否决触发</t>
        </is>
      </c>
      <c r="D27" s="41" t="inlineStr">
        <is>
          <t>优先检查+扩大范围+视情整改</t>
        </is>
      </c>
    </row>
    <row r="28">
      <c r="B28" s="4" t="inlineStr"/>
      <c r="C28" s="39" t="inlineStr"/>
      <c r="D28" s="40" t="inlineStr"/>
    </row>
    <row r="29" ht="22" customHeight="1">
      <c r="B29" s="3" t="inlineStr">
        <is>
          <t>一票否决项</t>
        </is>
      </c>
      <c r="C29" s="3" t="inlineStr"/>
      <c r="D29" s="3" t="inlineStr"/>
    </row>
    <row r="30">
      <c r="B30" s="4" t="inlineStr">
        <is>
          <t>1</t>
        </is>
      </c>
      <c r="C30" s="39" t="inlineStr">
        <is>
          <t>近6个月内有PSC滞留记录</t>
        </is>
      </c>
      <c r="D30" s="40" t="inlineStr">
        <is>
          <t>直接高风险</t>
        </is>
      </c>
    </row>
    <row r="31">
      <c r="B31" s="4" t="inlineStr">
        <is>
          <t>2</t>
        </is>
      </c>
      <c r="C31" s="39" t="inlineStr">
        <is>
          <t>船龄&gt;25年且为油轮/化学品船/液化气船</t>
        </is>
      </c>
      <c r="D31" s="40" t="inlineStr">
        <is>
          <t>直接高风险</t>
        </is>
      </c>
    </row>
    <row r="32">
      <c r="B32" s="4" t="inlineStr">
        <is>
          <t>3</t>
        </is>
      </c>
      <c r="C32" s="39" t="inlineStr">
        <is>
          <t>配员符合率&lt;70%</t>
        </is>
      </c>
      <c r="D32" s="40" t="inlineStr">
        <is>
          <t>直接高风险</t>
        </is>
      </c>
    </row>
    <row r="33">
      <c r="B33" s="4" t="inlineStr">
        <is>
          <t>4</t>
        </is>
      </c>
      <c r="C33" s="39" t="inlineStr">
        <is>
          <t>吃水余量&lt;0米（超吃水）</t>
        </is>
      </c>
      <c r="D33" s="40" t="inlineStr">
        <is>
          <t>直接高风险</t>
        </is>
      </c>
    </row>
    <row r="34">
      <c r="B34" s="4" t="inlineStr">
        <is>
          <t>5</t>
        </is>
      </c>
      <c r="C34" s="39" t="inlineStr">
        <is>
          <t>关键船员证书过期≥3人或船长证书过期</t>
        </is>
      </c>
      <c r="D34" s="40" t="inlineStr">
        <is>
          <t>直接高风险</t>
        </is>
      </c>
    </row>
    <row r="35">
      <c r="B35" s="4" t="inlineStr"/>
      <c r="C35" s="39" t="inlineStr"/>
      <c r="D35" s="40" t="inlineStr"/>
    </row>
    <row r="36">
      <c r="B36" s="4" t="inlineStr">
        <is>
          <t>重点风险提示（不纳入总分）</t>
        </is>
      </c>
      <c r="C36" s="39" t="inlineStr"/>
      <c r="D36" s="40" t="inlineStr"/>
    </row>
    <row r="37">
      <c r="B37" s="4" t="inlineStr">
        <is>
          <t>桥梁净空</t>
        </is>
      </c>
      <c r="C37" s="39" t="inlineStr">
        <is>
          <t>≥3m / 1-3m / 0-1m / &lt;0m</t>
        </is>
      </c>
      <c r="D37" s="40" t="inlineStr">
        <is>
          <t>正常/关注/⚠️/禁止通航</t>
        </is>
      </c>
    </row>
    <row r="38">
      <c r="B38" s="4" t="inlineStr">
        <is>
          <t>驾驶员首航</t>
        </is>
      </c>
      <c r="C38" s="39" t="inlineStr">
        <is>
          <t>否 / 船长首次 / 均首次</t>
        </is>
      </c>
      <c r="D38" s="40" t="inlineStr">
        <is>
          <t>熟悉/△关注/⚠️高风险</t>
        </is>
      </c>
    </row>
    <row r="39">
      <c r="B39" s="4" t="inlineStr">
        <is>
          <t>引航安排</t>
        </is>
      </c>
      <c r="C39" s="39" t="inlineStr">
        <is>
          <t>无需 / 申请 / 强制</t>
        </is>
      </c>
      <c r="D39" s="40" t="inlineStr">
        <is>
          <t>自航/有引航/强制引航</t>
        </is>
      </c>
    </row>
    <row r="40">
      <c r="B40" s="4" t="inlineStr">
        <is>
          <t>泊位匹配</t>
        </is>
      </c>
      <c r="C40" s="39" t="inlineStr">
        <is>
          <t>匹配 / 略超 / 明显超配</t>
        </is>
      </c>
      <c r="D40" s="40" t="inlineStr">
        <is>
          <t>正常/关注/⚠️高风险</t>
        </is>
      </c>
    </row>
    <row r="41">
      <c r="B41" s="4" t="inlineStr">
        <is>
          <t>重点船舶</t>
        </is>
      </c>
      <c r="C41" s="39" t="inlineStr">
        <is>
          <t>油轮/化学品/LNG/客船自动标记</t>
        </is>
      </c>
      <c r="D41" s="40" t="inlineStr">
        <is>
          <t>需重点监管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2026-05-11T09:19:14Z</dcterms:created>
  <dcterms:modified xmlns:dcterms="http://purl.org/dc/terms/" xmlns:xsi="http://www.w3.org/2001/XMLSchema-instance" xsi:type="dcterms:W3CDTF">2026-05-11T09:19:14Z</dcterms:modified>
</cp:coreProperties>
</file>